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k Penilaian" sheetId="1" state="visible" r:id="rId1"/>
    <sheet xmlns:r="http://schemas.openxmlformats.org/officeDocument/2006/relationships" name="Rekap Nilai" sheetId="2" state="visible" r:id="rId2"/>
    <sheet xmlns:r="http://schemas.openxmlformats.org/officeDocument/2006/relationships" name="Analisis Butir Soal" sheetId="3" state="visible" r:id="rId3"/>
    <sheet xmlns:r="http://schemas.openxmlformats.org/officeDocument/2006/relationships" name="Daftar Hadi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94D38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94D38"/>
      <sz val="11"/>
    </font>
    <font>
      <name val="Arial"/>
      <i val="1"/>
      <color rgb="00888888"/>
      <sz val="10"/>
    </font>
    <font>
      <name val="Arial"/>
      <i val="1"/>
      <sz val="10"/>
    </font>
    <font>
      <name val="Arial"/>
      <b val="1"/>
      <color rgb="00094D38"/>
      <sz val="10"/>
    </font>
  </fonts>
  <fills count="10">
    <fill>
      <patternFill/>
    </fill>
    <fill>
      <patternFill patternType="gray125"/>
    </fill>
    <fill>
      <patternFill patternType="solid">
        <fgColor rgb="000D6B4E"/>
      </patternFill>
    </fill>
    <fill>
      <patternFill patternType="solid">
        <fgColor rgb="00C8A52E"/>
      </patternFill>
    </fill>
    <fill>
      <patternFill patternType="solid">
        <fgColor rgb="00FAF3D4"/>
      </patternFill>
    </fill>
    <fill>
      <patternFill patternType="solid">
        <fgColor rgb="00E8F5F0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9" fillId="5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9" fillId="0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RUBRIK PENILAIAN TTS MODEL ADDIE</t>
        </is>
      </c>
    </row>
    <row r="2">
      <c r="A2" s="2" t="inlineStr">
        <is>
          <t>Calon Guru Pendidikan Agama Islam</t>
        </is>
      </c>
    </row>
    <row r="4">
      <c r="A4" s="3" t="inlineStr">
        <is>
          <t>Aspek</t>
        </is>
      </c>
      <c r="B4" s="3" t="inlineStr">
        <is>
          <t>Bobot</t>
        </is>
      </c>
      <c r="C4" s="4" t="inlineStr">
        <is>
          <t>Mumtaz (A)
85-100</t>
        </is>
      </c>
      <c r="D4" s="4" t="inlineStr">
        <is>
          <t>Jayyid Jiddan (B)
70-84</t>
        </is>
      </c>
      <c r="E4" s="4" t="inlineStr">
        <is>
          <t>Jayyid (C)
55-69</t>
        </is>
      </c>
      <c r="F4" s="4" t="inlineStr">
        <is>
          <t>Maqbul (D)
0-54</t>
        </is>
      </c>
    </row>
    <row r="5" ht="60" customHeight="1">
      <c r="A5" s="5" t="inlineStr">
        <is>
          <t>Ketepatan Jawaban
(Jawaban benar pada TTS)</t>
        </is>
      </c>
      <c r="B5" s="6" t="inlineStr">
        <is>
          <t>60%</t>
        </is>
      </c>
      <c r="C5" s="7" t="inlineStr">
        <is>
          <t>Menjawab benar ≥34 dari 40 soal (≥85%)</t>
        </is>
      </c>
      <c r="D5" s="7" t="inlineStr">
        <is>
          <t>Menjawab benar 28-33 soal (70-84%)</t>
        </is>
      </c>
      <c r="E5" s="7" t="inlineStr">
        <is>
          <t>Menjawab benar 22-27 soal (55-69%)</t>
        </is>
      </c>
      <c r="F5" s="7" t="inlineStr">
        <is>
          <t>Menjawab benar &lt;22 soal (&lt;55%)</t>
        </is>
      </c>
    </row>
    <row r="6" ht="60" customHeight="1">
      <c r="A6" s="5" t="inlineStr">
        <is>
          <t>Kemandirian
(Penggunaan petunjuk/hint)</t>
        </is>
      </c>
      <c r="B6" s="6" t="inlineStr">
        <is>
          <t>20%</t>
        </is>
      </c>
      <c r="C6" s="7" t="inlineStr">
        <is>
          <t>Tidak menggunakan petunjuk sama sekali (0 hint)</t>
        </is>
      </c>
      <c r="D6" s="7" t="inlineStr">
        <is>
          <t>Menggunakan 1-3 petunjuk</t>
        </is>
      </c>
      <c r="E6" s="7" t="inlineStr">
        <is>
          <t>Menggunakan 4-7 petunjuk</t>
        </is>
      </c>
      <c r="F6" s="7" t="inlineStr">
        <is>
          <t>Menggunakan &gt;7 petunjuk</t>
        </is>
      </c>
    </row>
    <row r="7" ht="60" customHeight="1">
      <c r="A7" s="5" t="inlineStr">
        <is>
          <t>Efisiensi Waktu
(Durasi pengerjaan)</t>
        </is>
      </c>
      <c r="B7" s="6" t="inlineStr">
        <is>
          <t>10%</t>
        </is>
      </c>
      <c r="C7" s="7" t="inlineStr">
        <is>
          <t>Selesai dalam &lt;20 menit</t>
        </is>
      </c>
      <c r="D7" s="7" t="inlineStr">
        <is>
          <t>Selesai dalam 20-35 menit</t>
        </is>
      </c>
      <c r="E7" s="7" t="inlineStr">
        <is>
          <t>Selesai dalam 35-50 menit</t>
        </is>
      </c>
      <c r="F7" s="7" t="inlineStr">
        <is>
          <t>Selesai dalam &gt;50 menit</t>
        </is>
      </c>
    </row>
    <row r="8" ht="60" customHeight="1">
      <c r="A8" s="5" t="inlineStr">
        <is>
          <t>Ketuntasan
(Kelengkapan pengisian)</t>
        </is>
      </c>
      <c r="B8" s="6" t="inlineStr">
        <is>
          <t>10%</t>
        </is>
      </c>
      <c r="C8" s="7" t="inlineStr">
        <is>
          <t>Mengisi seluruh 40 soal (100%)</t>
        </is>
      </c>
      <c r="D8" s="7" t="inlineStr">
        <is>
          <t>Mengisi 30-39 soal (75-97%)</t>
        </is>
      </c>
      <c r="E8" s="7" t="inlineStr">
        <is>
          <t>Mengisi 20-29 soal (50-74%)</t>
        </is>
      </c>
      <c r="F8" s="7" t="inlineStr">
        <is>
          <t>Mengisi &lt;20 soal (&lt;50%)</t>
        </is>
      </c>
    </row>
    <row r="10">
      <c r="A10" s="8" t="inlineStr">
        <is>
          <t>FORMULA PERHITUNGAN SKOR AKHIR</t>
        </is>
      </c>
    </row>
    <row r="11">
      <c r="A11" s="9" t="inlineStr">
        <is>
          <t>Skor = (Jawaban Benar / 40 × 100) - (Jumlah Hint × 2.5) + Bonus Waktu (maks 10 poin)</t>
        </is>
      </c>
    </row>
    <row r="12">
      <c r="A12" s="10" t="inlineStr">
        <is>
          <t>Bonus Waktu = max(0, 10 - (menit / 6))  →  Bonus habis setelah 60 menit</t>
        </is>
      </c>
    </row>
  </sheetData>
  <mergeCells count="5">
    <mergeCell ref="A2:F2"/>
    <mergeCell ref="A11:F11"/>
    <mergeCell ref="A10:F10"/>
    <mergeCell ref="A1:F1"/>
    <mergeCell ref="A12:F1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20" customWidth="1" min="10" max="10"/>
    <col width="14" customWidth="1" min="11" max="11"/>
    <col width="10" customWidth="1" min="12" max="12"/>
  </cols>
  <sheetData>
    <row r="1">
      <c r="A1" s="1" t="inlineStr">
        <is>
          <t>REKAP NILAI TTS MODEL ADDIE — CALON GURU PAI</t>
        </is>
      </c>
    </row>
    <row r="2">
      <c r="A2" s="11" t="inlineStr">
        <is>
          <t>Semester: _____ / Tahun Akademik: _____/_____</t>
        </is>
      </c>
    </row>
    <row r="4">
      <c r="A4" s="3" t="inlineStr">
        <is>
          <t>No</t>
        </is>
      </c>
      <c r="B4" s="3" t="inlineStr">
        <is>
          <t>Nama Lengkap</t>
        </is>
      </c>
      <c r="C4" s="3" t="inlineStr">
        <is>
          <t>NIM</t>
        </is>
      </c>
      <c r="D4" s="3" t="inlineStr">
        <is>
          <t>Kelas</t>
        </is>
      </c>
      <c r="E4" s="3" t="inlineStr">
        <is>
          <t>Benar</t>
        </is>
      </c>
      <c r="F4" s="3" t="inlineStr">
        <is>
          <t>Salah</t>
        </is>
      </c>
      <c r="G4" s="3" t="inlineStr">
        <is>
          <t>Hint</t>
        </is>
      </c>
      <c r="H4" s="3" t="inlineStr">
        <is>
          <t>Waktu
(menit)</t>
        </is>
      </c>
      <c r="I4" s="3" t="inlineStr">
        <is>
          <t>Skor
Akhir</t>
        </is>
      </c>
      <c r="J4" s="3" t="inlineStr">
        <is>
          <t>Predikat</t>
        </is>
      </c>
      <c r="K4" s="3" t="inlineStr">
        <is>
          <t>Ket</t>
        </is>
      </c>
      <c r="L4" s="3" t="inlineStr">
        <is>
          <t>TTD</t>
        </is>
      </c>
    </row>
    <row r="5">
      <c r="A5" s="12" t="n">
        <v>1</v>
      </c>
      <c r="B5" s="13" t="n"/>
      <c r="C5" s="13" t="n"/>
      <c r="D5" s="13" t="n"/>
      <c r="E5" s="13" t="n"/>
      <c r="F5" s="13">
        <f>IF(E5="","",40-E5)</f>
        <v/>
      </c>
      <c r="G5" s="13" t="n"/>
      <c r="H5" s="13" t="n"/>
      <c r="I5" s="14">
        <f>IF(E5="","",(E5/40)*100-(G5*2.5)+MAX(0,10-(H5/6)))</f>
        <v/>
      </c>
      <c r="J5" s="13">
        <f>IF(I5="","",IF(I5&gt;=85,"A - Mumtaz",IF(I5&gt;=70,"B - Jayyid Jiddan",IF(I5&gt;=55,"C - Jayyid","D - Maqbul"))))</f>
        <v/>
      </c>
      <c r="K5" s="13">
        <f>IF(I5="","",IF(I5&gt;=55,"LULUS","TIDAK LULUS"))</f>
        <v/>
      </c>
      <c r="L5" s="13" t="n"/>
    </row>
    <row r="6">
      <c r="A6" s="15" t="n">
        <v>2</v>
      </c>
      <c r="B6" s="16" t="n"/>
      <c r="C6" s="16" t="n"/>
      <c r="D6" s="16" t="n"/>
      <c r="E6" s="16" t="n"/>
      <c r="F6" s="16">
        <f>IF(E6="","",40-E6)</f>
        <v/>
      </c>
      <c r="G6" s="16" t="n"/>
      <c r="H6" s="16" t="n"/>
      <c r="I6" s="17">
        <f>IF(E6="","",(E6/40)*100-(G6*2.5)+MAX(0,10-(H6/6)))</f>
        <v/>
      </c>
      <c r="J6" s="16">
        <f>IF(I6="","",IF(I6&gt;=85,"A - Mumtaz",IF(I6&gt;=70,"B - Jayyid Jiddan",IF(I6&gt;=55,"C - Jayyid","D - Maqbul"))))</f>
        <v/>
      </c>
      <c r="K6" s="16">
        <f>IF(I6="","",IF(I6&gt;=55,"LULUS","TIDAK LULUS"))</f>
        <v/>
      </c>
      <c r="L6" s="16" t="n"/>
    </row>
    <row r="7">
      <c r="A7" s="12" t="n">
        <v>3</v>
      </c>
      <c r="B7" s="13" t="n"/>
      <c r="C7" s="13" t="n"/>
      <c r="D7" s="13" t="n"/>
      <c r="E7" s="13" t="n"/>
      <c r="F7" s="13">
        <f>IF(E7="","",40-E7)</f>
        <v/>
      </c>
      <c r="G7" s="13" t="n"/>
      <c r="H7" s="13" t="n"/>
      <c r="I7" s="14">
        <f>IF(E7="","",(E7/40)*100-(G7*2.5)+MAX(0,10-(H7/6)))</f>
        <v/>
      </c>
      <c r="J7" s="13">
        <f>IF(I7="","",IF(I7&gt;=85,"A - Mumtaz",IF(I7&gt;=70,"B - Jayyid Jiddan",IF(I7&gt;=55,"C - Jayyid","D - Maqbul"))))</f>
        <v/>
      </c>
      <c r="K7" s="13">
        <f>IF(I7="","",IF(I7&gt;=55,"LULUS","TIDAK LULUS"))</f>
        <v/>
      </c>
      <c r="L7" s="13" t="n"/>
    </row>
    <row r="8">
      <c r="A8" s="15" t="n">
        <v>4</v>
      </c>
      <c r="B8" s="16" t="n"/>
      <c r="C8" s="16" t="n"/>
      <c r="D8" s="16" t="n"/>
      <c r="E8" s="16" t="n"/>
      <c r="F8" s="16">
        <f>IF(E8="","",40-E8)</f>
        <v/>
      </c>
      <c r="G8" s="16" t="n"/>
      <c r="H8" s="16" t="n"/>
      <c r="I8" s="17">
        <f>IF(E8="","",(E8/40)*100-(G8*2.5)+MAX(0,10-(H8/6)))</f>
        <v/>
      </c>
      <c r="J8" s="16">
        <f>IF(I8="","",IF(I8&gt;=85,"A - Mumtaz",IF(I8&gt;=70,"B - Jayyid Jiddan",IF(I8&gt;=55,"C - Jayyid","D - Maqbul"))))</f>
        <v/>
      </c>
      <c r="K8" s="16">
        <f>IF(I8="","",IF(I8&gt;=55,"LULUS","TIDAK LULUS"))</f>
        <v/>
      </c>
      <c r="L8" s="16" t="n"/>
    </row>
    <row r="9">
      <c r="A9" s="12" t="n">
        <v>5</v>
      </c>
      <c r="B9" s="13" t="n"/>
      <c r="C9" s="13" t="n"/>
      <c r="D9" s="13" t="n"/>
      <c r="E9" s="13" t="n"/>
      <c r="F9" s="13">
        <f>IF(E9="","",40-E9)</f>
        <v/>
      </c>
      <c r="G9" s="13" t="n"/>
      <c r="H9" s="13" t="n"/>
      <c r="I9" s="14">
        <f>IF(E9="","",(E9/40)*100-(G9*2.5)+MAX(0,10-(H9/6)))</f>
        <v/>
      </c>
      <c r="J9" s="13">
        <f>IF(I9="","",IF(I9&gt;=85,"A - Mumtaz",IF(I9&gt;=70,"B - Jayyid Jiddan",IF(I9&gt;=55,"C - Jayyid","D - Maqbul"))))</f>
        <v/>
      </c>
      <c r="K9" s="13">
        <f>IF(I9="","",IF(I9&gt;=55,"LULUS","TIDAK LULUS"))</f>
        <v/>
      </c>
      <c r="L9" s="13" t="n"/>
    </row>
    <row r="10">
      <c r="A10" s="15" t="n">
        <v>6</v>
      </c>
      <c r="B10" s="16" t="n"/>
      <c r="C10" s="16" t="n"/>
      <c r="D10" s="16" t="n"/>
      <c r="E10" s="16" t="n"/>
      <c r="F10" s="16">
        <f>IF(E10="","",40-E10)</f>
        <v/>
      </c>
      <c r="G10" s="16" t="n"/>
      <c r="H10" s="16" t="n"/>
      <c r="I10" s="17">
        <f>IF(E10="","",(E10/40)*100-(G10*2.5)+MAX(0,10-(H10/6)))</f>
        <v/>
      </c>
      <c r="J10" s="16">
        <f>IF(I10="","",IF(I10&gt;=85,"A - Mumtaz",IF(I10&gt;=70,"B - Jayyid Jiddan",IF(I10&gt;=55,"C - Jayyid","D - Maqbul"))))</f>
        <v/>
      </c>
      <c r="K10" s="16">
        <f>IF(I10="","",IF(I10&gt;=55,"LULUS","TIDAK LULUS"))</f>
        <v/>
      </c>
      <c r="L10" s="16" t="n"/>
    </row>
    <row r="11">
      <c r="A11" s="12" t="n">
        <v>7</v>
      </c>
      <c r="B11" s="13" t="n"/>
      <c r="C11" s="13" t="n"/>
      <c r="D11" s="13" t="n"/>
      <c r="E11" s="13" t="n"/>
      <c r="F11" s="13">
        <f>IF(E11="","",40-E11)</f>
        <v/>
      </c>
      <c r="G11" s="13" t="n"/>
      <c r="H11" s="13" t="n"/>
      <c r="I11" s="14">
        <f>IF(E11="","",(E11/40)*100-(G11*2.5)+MAX(0,10-(H11/6)))</f>
        <v/>
      </c>
      <c r="J11" s="13">
        <f>IF(I11="","",IF(I11&gt;=85,"A - Mumtaz",IF(I11&gt;=70,"B - Jayyid Jiddan",IF(I11&gt;=55,"C - Jayyid","D - Maqbul"))))</f>
        <v/>
      </c>
      <c r="K11" s="13">
        <f>IF(I11="","",IF(I11&gt;=55,"LULUS","TIDAK LULUS"))</f>
        <v/>
      </c>
      <c r="L11" s="13" t="n"/>
    </row>
    <row r="12">
      <c r="A12" s="15" t="n">
        <v>8</v>
      </c>
      <c r="B12" s="16" t="n"/>
      <c r="C12" s="16" t="n"/>
      <c r="D12" s="16" t="n"/>
      <c r="E12" s="16" t="n"/>
      <c r="F12" s="16">
        <f>IF(E12="","",40-E12)</f>
        <v/>
      </c>
      <c r="G12" s="16" t="n"/>
      <c r="H12" s="16" t="n"/>
      <c r="I12" s="17">
        <f>IF(E12="","",(E12/40)*100-(G12*2.5)+MAX(0,10-(H12/6)))</f>
        <v/>
      </c>
      <c r="J12" s="16">
        <f>IF(I12="","",IF(I12&gt;=85,"A - Mumtaz",IF(I12&gt;=70,"B - Jayyid Jiddan",IF(I12&gt;=55,"C - Jayyid","D - Maqbul"))))</f>
        <v/>
      </c>
      <c r="K12" s="16">
        <f>IF(I12="","",IF(I12&gt;=55,"LULUS","TIDAK LULUS"))</f>
        <v/>
      </c>
      <c r="L12" s="16" t="n"/>
    </row>
    <row r="13">
      <c r="A13" s="12" t="n">
        <v>9</v>
      </c>
      <c r="B13" s="13" t="n"/>
      <c r="C13" s="13" t="n"/>
      <c r="D13" s="13" t="n"/>
      <c r="E13" s="13" t="n"/>
      <c r="F13" s="13">
        <f>IF(E13="","",40-E13)</f>
        <v/>
      </c>
      <c r="G13" s="13" t="n"/>
      <c r="H13" s="13" t="n"/>
      <c r="I13" s="14">
        <f>IF(E13="","",(E13/40)*100-(G13*2.5)+MAX(0,10-(H13/6)))</f>
        <v/>
      </c>
      <c r="J13" s="13">
        <f>IF(I13="","",IF(I13&gt;=85,"A - Mumtaz",IF(I13&gt;=70,"B - Jayyid Jiddan",IF(I13&gt;=55,"C - Jayyid","D - Maqbul"))))</f>
        <v/>
      </c>
      <c r="K13" s="13">
        <f>IF(I13="","",IF(I13&gt;=55,"LULUS","TIDAK LULUS"))</f>
        <v/>
      </c>
      <c r="L13" s="13" t="n"/>
    </row>
    <row r="14">
      <c r="A14" s="15" t="n">
        <v>10</v>
      </c>
      <c r="B14" s="16" t="n"/>
      <c r="C14" s="16" t="n"/>
      <c r="D14" s="16" t="n"/>
      <c r="E14" s="16" t="n"/>
      <c r="F14" s="16">
        <f>IF(E14="","",40-E14)</f>
        <v/>
      </c>
      <c r="G14" s="16" t="n"/>
      <c r="H14" s="16" t="n"/>
      <c r="I14" s="17">
        <f>IF(E14="","",(E14/40)*100-(G14*2.5)+MAX(0,10-(H14/6)))</f>
        <v/>
      </c>
      <c r="J14" s="16">
        <f>IF(I14="","",IF(I14&gt;=85,"A - Mumtaz",IF(I14&gt;=70,"B - Jayyid Jiddan",IF(I14&gt;=55,"C - Jayyid","D - Maqbul"))))</f>
        <v/>
      </c>
      <c r="K14" s="16">
        <f>IF(I14="","",IF(I14&gt;=55,"LULUS","TIDAK LULUS"))</f>
        <v/>
      </c>
      <c r="L14" s="16" t="n"/>
    </row>
    <row r="15">
      <c r="A15" s="12" t="n">
        <v>11</v>
      </c>
      <c r="B15" s="13" t="n"/>
      <c r="C15" s="13" t="n"/>
      <c r="D15" s="13" t="n"/>
      <c r="E15" s="13" t="n"/>
      <c r="F15" s="13">
        <f>IF(E15="","",40-E15)</f>
        <v/>
      </c>
      <c r="G15" s="13" t="n"/>
      <c r="H15" s="13" t="n"/>
      <c r="I15" s="14">
        <f>IF(E15="","",(E15/40)*100-(G15*2.5)+MAX(0,10-(H15/6)))</f>
        <v/>
      </c>
      <c r="J15" s="13">
        <f>IF(I15="","",IF(I15&gt;=85,"A - Mumtaz",IF(I15&gt;=70,"B - Jayyid Jiddan",IF(I15&gt;=55,"C - Jayyid","D - Maqbul"))))</f>
        <v/>
      </c>
      <c r="K15" s="13">
        <f>IF(I15="","",IF(I15&gt;=55,"LULUS","TIDAK LULUS"))</f>
        <v/>
      </c>
      <c r="L15" s="13" t="n"/>
    </row>
    <row r="16">
      <c r="A16" s="15" t="n">
        <v>12</v>
      </c>
      <c r="B16" s="16" t="n"/>
      <c r="C16" s="16" t="n"/>
      <c r="D16" s="16" t="n"/>
      <c r="E16" s="16" t="n"/>
      <c r="F16" s="16">
        <f>IF(E16="","",40-E16)</f>
        <v/>
      </c>
      <c r="G16" s="16" t="n"/>
      <c r="H16" s="16" t="n"/>
      <c r="I16" s="17">
        <f>IF(E16="","",(E16/40)*100-(G16*2.5)+MAX(0,10-(H16/6)))</f>
        <v/>
      </c>
      <c r="J16" s="16">
        <f>IF(I16="","",IF(I16&gt;=85,"A - Mumtaz",IF(I16&gt;=70,"B - Jayyid Jiddan",IF(I16&gt;=55,"C - Jayyid","D - Maqbul"))))</f>
        <v/>
      </c>
      <c r="K16" s="16">
        <f>IF(I16="","",IF(I16&gt;=55,"LULUS","TIDAK LULUS"))</f>
        <v/>
      </c>
      <c r="L16" s="16" t="n"/>
    </row>
    <row r="17">
      <c r="A17" s="12" t="n">
        <v>13</v>
      </c>
      <c r="B17" s="13" t="n"/>
      <c r="C17" s="13" t="n"/>
      <c r="D17" s="13" t="n"/>
      <c r="E17" s="13" t="n"/>
      <c r="F17" s="13">
        <f>IF(E17="","",40-E17)</f>
        <v/>
      </c>
      <c r="G17" s="13" t="n"/>
      <c r="H17" s="13" t="n"/>
      <c r="I17" s="14">
        <f>IF(E17="","",(E17/40)*100-(G17*2.5)+MAX(0,10-(H17/6)))</f>
        <v/>
      </c>
      <c r="J17" s="13">
        <f>IF(I17="","",IF(I17&gt;=85,"A - Mumtaz",IF(I17&gt;=70,"B - Jayyid Jiddan",IF(I17&gt;=55,"C - Jayyid","D - Maqbul"))))</f>
        <v/>
      </c>
      <c r="K17" s="13">
        <f>IF(I17="","",IF(I17&gt;=55,"LULUS","TIDAK LULUS"))</f>
        <v/>
      </c>
      <c r="L17" s="13" t="n"/>
    </row>
    <row r="18">
      <c r="A18" s="15" t="n">
        <v>14</v>
      </c>
      <c r="B18" s="16" t="n"/>
      <c r="C18" s="16" t="n"/>
      <c r="D18" s="16" t="n"/>
      <c r="E18" s="16" t="n"/>
      <c r="F18" s="16">
        <f>IF(E18="","",40-E18)</f>
        <v/>
      </c>
      <c r="G18" s="16" t="n"/>
      <c r="H18" s="16" t="n"/>
      <c r="I18" s="17">
        <f>IF(E18="","",(E18/40)*100-(G18*2.5)+MAX(0,10-(H18/6)))</f>
        <v/>
      </c>
      <c r="J18" s="16">
        <f>IF(I18="","",IF(I18&gt;=85,"A - Mumtaz",IF(I18&gt;=70,"B - Jayyid Jiddan",IF(I18&gt;=55,"C - Jayyid","D - Maqbul"))))</f>
        <v/>
      </c>
      <c r="K18" s="16">
        <f>IF(I18="","",IF(I18&gt;=55,"LULUS","TIDAK LULUS"))</f>
        <v/>
      </c>
      <c r="L18" s="16" t="n"/>
    </row>
    <row r="19">
      <c r="A19" s="12" t="n">
        <v>15</v>
      </c>
      <c r="B19" s="13" t="n"/>
      <c r="C19" s="13" t="n"/>
      <c r="D19" s="13" t="n"/>
      <c r="E19" s="13" t="n"/>
      <c r="F19" s="13">
        <f>IF(E19="","",40-E19)</f>
        <v/>
      </c>
      <c r="G19" s="13" t="n"/>
      <c r="H19" s="13" t="n"/>
      <c r="I19" s="14">
        <f>IF(E19="","",(E19/40)*100-(G19*2.5)+MAX(0,10-(H19/6)))</f>
        <v/>
      </c>
      <c r="J19" s="13">
        <f>IF(I19="","",IF(I19&gt;=85,"A - Mumtaz",IF(I19&gt;=70,"B - Jayyid Jiddan",IF(I19&gt;=55,"C - Jayyid","D - Maqbul"))))</f>
        <v/>
      </c>
      <c r="K19" s="13">
        <f>IF(I19="","",IF(I19&gt;=55,"LULUS","TIDAK LULUS"))</f>
        <v/>
      </c>
      <c r="L19" s="13" t="n"/>
    </row>
    <row r="20">
      <c r="A20" s="15" t="n">
        <v>16</v>
      </c>
      <c r="B20" s="16" t="n"/>
      <c r="C20" s="16" t="n"/>
      <c r="D20" s="16" t="n"/>
      <c r="E20" s="16" t="n"/>
      <c r="F20" s="16">
        <f>IF(E20="","",40-E20)</f>
        <v/>
      </c>
      <c r="G20" s="16" t="n"/>
      <c r="H20" s="16" t="n"/>
      <c r="I20" s="17">
        <f>IF(E20="","",(E20/40)*100-(G20*2.5)+MAX(0,10-(H20/6)))</f>
        <v/>
      </c>
      <c r="J20" s="16">
        <f>IF(I20="","",IF(I20&gt;=85,"A - Mumtaz",IF(I20&gt;=70,"B - Jayyid Jiddan",IF(I20&gt;=55,"C - Jayyid","D - Maqbul"))))</f>
        <v/>
      </c>
      <c r="K20" s="16">
        <f>IF(I20="","",IF(I20&gt;=55,"LULUS","TIDAK LULUS"))</f>
        <v/>
      </c>
      <c r="L20" s="16" t="n"/>
    </row>
    <row r="21">
      <c r="A21" s="12" t="n">
        <v>17</v>
      </c>
      <c r="B21" s="13" t="n"/>
      <c r="C21" s="13" t="n"/>
      <c r="D21" s="13" t="n"/>
      <c r="E21" s="13" t="n"/>
      <c r="F21" s="13">
        <f>IF(E21="","",40-E21)</f>
        <v/>
      </c>
      <c r="G21" s="13" t="n"/>
      <c r="H21" s="13" t="n"/>
      <c r="I21" s="14">
        <f>IF(E21="","",(E21/40)*100-(G21*2.5)+MAX(0,10-(H21/6)))</f>
        <v/>
      </c>
      <c r="J21" s="13">
        <f>IF(I21="","",IF(I21&gt;=85,"A - Mumtaz",IF(I21&gt;=70,"B - Jayyid Jiddan",IF(I21&gt;=55,"C - Jayyid","D - Maqbul"))))</f>
        <v/>
      </c>
      <c r="K21" s="13">
        <f>IF(I21="","",IF(I21&gt;=55,"LULUS","TIDAK LULUS"))</f>
        <v/>
      </c>
      <c r="L21" s="13" t="n"/>
    </row>
    <row r="22">
      <c r="A22" s="15" t="n">
        <v>18</v>
      </c>
      <c r="B22" s="16" t="n"/>
      <c r="C22" s="16" t="n"/>
      <c r="D22" s="16" t="n"/>
      <c r="E22" s="16" t="n"/>
      <c r="F22" s="16">
        <f>IF(E22="","",40-E22)</f>
        <v/>
      </c>
      <c r="G22" s="16" t="n"/>
      <c r="H22" s="16" t="n"/>
      <c r="I22" s="17">
        <f>IF(E22="","",(E22/40)*100-(G22*2.5)+MAX(0,10-(H22/6)))</f>
        <v/>
      </c>
      <c r="J22" s="16">
        <f>IF(I22="","",IF(I22&gt;=85,"A - Mumtaz",IF(I22&gt;=70,"B - Jayyid Jiddan",IF(I22&gt;=55,"C - Jayyid","D - Maqbul"))))</f>
        <v/>
      </c>
      <c r="K22" s="16">
        <f>IF(I22="","",IF(I22&gt;=55,"LULUS","TIDAK LULUS"))</f>
        <v/>
      </c>
      <c r="L22" s="16" t="n"/>
    </row>
    <row r="23">
      <c r="A23" s="12" t="n">
        <v>19</v>
      </c>
      <c r="B23" s="13" t="n"/>
      <c r="C23" s="13" t="n"/>
      <c r="D23" s="13" t="n"/>
      <c r="E23" s="13" t="n"/>
      <c r="F23" s="13">
        <f>IF(E23="","",40-E23)</f>
        <v/>
      </c>
      <c r="G23" s="13" t="n"/>
      <c r="H23" s="13" t="n"/>
      <c r="I23" s="14">
        <f>IF(E23="","",(E23/40)*100-(G23*2.5)+MAX(0,10-(H23/6)))</f>
        <v/>
      </c>
      <c r="J23" s="13">
        <f>IF(I23="","",IF(I23&gt;=85,"A - Mumtaz",IF(I23&gt;=70,"B - Jayyid Jiddan",IF(I23&gt;=55,"C - Jayyid","D - Maqbul"))))</f>
        <v/>
      </c>
      <c r="K23" s="13">
        <f>IF(I23="","",IF(I23&gt;=55,"LULUS","TIDAK LULUS"))</f>
        <v/>
      </c>
      <c r="L23" s="13" t="n"/>
    </row>
    <row r="24">
      <c r="A24" s="15" t="n">
        <v>20</v>
      </c>
      <c r="B24" s="16" t="n"/>
      <c r="C24" s="16" t="n"/>
      <c r="D24" s="16" t="n"/>
      <c r="E24" s="16" t="n"/>
      <c r="F24" s="16">
        <f>IF(E24="","",40-E24)</f>
        <v/>
      </c>
      <c r="G24" s="16" t="n"/>
      <c r="H24" s="16" t="n"/>
      <c r="I24" s="17">
        <f>IF(E24="","",(E24/40)*100-(G24*2.5)+MAX(0,10-(H24/6)))</f>
        <v/>
      </c>
      <c r="J24" s="16">
        <f>IF(I24="","",IF(I24&gt;=85,"A - Mumtaz",IF(I24&gt;=70,"B - Jayyid Jiddan",IF(I24&gt;=55,"C - Jayyid","D - Maqbul"))))</f>
        <v/>
      </c>
      <c r="K24" s="16">
        <f>IF(I24="","",IF(I24&gt;=55,"LULUS","TIDAK LULUS"))</f>
        <v/>
      </c>
      <c r="L24" s="16" t="n"/>
    </row>
    <row r="25">
      <c r="A25" s="12" t="n">
        <v>21</v>
      </c>
      <c r="B25" s="13" t="n"/>
      <c r="C25" s="13" t="n"/>
      <c r="D25" s="13" t="n"/>
      <c r="E25" s="13" t="n"/>
      <c r="F25" s="13">
        <f>IF(E25="","",40-E25)</f>
        <v/>
      </c>
      <c r="G25" s="13" t="n"/>
      <c r="H25" s="13" t="n"/>
      <c r="I25" s="14">
        <f>IF(E25="","",(E25/40)*100-(G25*2.5)+MAX(0,10-(H25/6)))</f>
        <v/>
      </c>
      <c r="J25" s="13">
        <f>IF(I25="","",IF(I25&gt;=85,"A - Mumtaz",IF(I25&gt;=70,"B - Jayyid Jiddan",IF(I25&gt;=55,"C - Jayyid","D - Maqbul"))))</f>
        <v/>
      </c>
      <c r="K25" s="13">
        <f>IF(I25="","",IF(I25&gt;=55,"LULUS","TIDAK LULUS"))</f>
        <v/>
      </c>
      <c r="L25" s="13" t="n"/>
    </row>
    <row r="26">
      <c r="A26" s="15" t="n">
        <v>22</v>
      </c>
      <c r="B26" s="16" t="n"/>
      <c r="C26" s="16" t="n"/>
      <c r="D26" s="16" t="n"/>
      <c r="E26" s="16" t="n"/>
      <c r="F26" s="16">
        <f>IF(E26="","",40-E26)</f>
        <v/>
      </c>
      <c r="G26" s="16" t="n"/>
      <c r="H26" s="16" t="n"/>
      <c r="I26" s="17">
        <f>IF(E26="","",(E26/40)*100-(G26*2.5)+MAX(0,10-(H26/6)))</f>
        <v/>
      </c>
      <c r="J26" s="16">
        <f>IF(I26="","",IF(I26&gt;=85,"A - Mumtaz",IF(I26&gt;=70,"B - Jayyid Jiddan",IF(I26&gt;=55,"C - Jayyid","D - Maqbul"))))</f>
        <v/>
      </c>
      <c r="K26" s="16">
        <f>IF(I26="","",IF(I26&gt;=55,"LULUS","TIDAK LULUS"))</f>
        <v/>
      </c>
      <c r="L26" s="16" t="n"/>
    </row>
    <row r="27">
      <c r="A27" s="12" t="n">
        <v>23</v>
      </c>
      <c r="B27" s="13" t="n"/>
      <c r="C27" s="13" t="n"/>
      <c r="D27" s="13" t="n"/>
      <c r="E27" s="13" t="n"/>
      <c r="F27" s="13">
        <f>IF(E27="","",40-E27)</f>
        <v/>
      </c>
      <c r="G27" s="13" t="n"/>
      <c r="H27" s="13" t="n"/>
      <c r="I27" s="14">
        <f>IF(E27="","",(E27/40)*100-(G27*2.5)+MAX(0,10-(H27/6)))</f>
        <v/>
      </c>
      <c r="J27" s="13">
        <f>IF(I27="","",IF(I27&gt;=85,"A - Mumtaz",IF(I27&gt;=70,"B - Jayyid Jiddan",IF(I27&gt;=55,"C - Jayyid","D - Maqbul"))))</f>
        <v/>
      </c>
      <c r="K27" s="13">
        <f>IF(I27="","",IF(I27&gt;=55,"LULUS","TIDAK LULUS"))</f>
        <v/>
      </c>
      <c r="L27" s="13" t="n"/>
    </row>
    <row r="28">
      <c r="A28" s="15" t="n">
        <v>24</v>
      </c>
      <c r="B28" s="16" t="n"/>
      <c r="C28" s="16" t="n"/>
      <c r="D28" s="16" t="n"/>
      <c r="E28" s="16" t="n"/>
      <c r="F28" s="16">
        <f>IF(E28="","",40-E28)</f>
        <v/>
      </c>
      <c r="G28" s="16" t="n"/>
      <c r="H28" s="16" t="n"/>
      <c r="I28" s="17">
        <f>IF(E28="","",(E28/40)*100-(G28*2.5)+MAX(0,10-(H28/6)))</f>
        <v/>
      </c>
      <c r="J28" s="16">
        <f>IF(I28="","",IF(I28&gt;=85,"A - Mumtaz",IF(I28&gt;=70,"B - Jayyid Jiddan",IF(I28&gt;=55,"C - Jayyid","D - Maqbul"))))</f>
        <v/>
      </c>
      <c r="K28" s="16">
        <f>IF(I28="","",IF(I28&gt;=55,"LULUS","TIDAK LULUS"))</f>
        <v/>
      </c>
      <c r="L28" s="16" t="n"/>
    </row>
    <row r="29">
      <c r="A29" s="12" t="n">
        <v>25</v>
      </c>
      <c r="B29" s="13" t="n"/>
      <c r="C29" s="13" t="n"/>
      <c r="D29" s="13" t="n"/>
      <c r="E29" s="13" t="n"/>
      <c r="F29" s="13">
        <f>IF(E29="","",40-E29)</f>
        <v/>
      </c>
      <c r="G29" s="13" t="n"/>
      <c r="H29" s="13" t="n"/>
      <c r="I29" s="14">
        <f>IF(E29="","",(E29/40)*100-(G29*2.5)+MAX(0,10-(H29/6)))</f>
        <v/>
      </c>
      <c r="J29" s="13">
        <f>IF(I29="","",IF(I29&gt;=85,"A - Mumtaz",IF(I29&gt;=70,"B - Jayyid Jiddan",IF(I29&gt;=55,"C - Jayyid","D - Maqbul"))))</f>
        <v/>
      </c>
      <c r="K29" s="13">
        <f>IF(I29="","",IF(I29&gt;=55,"LULUS","TIDAK LULUS"))</f>
        <v/>
      </c>
      <c r="L29" s="13" t="n"/>
    </row>
    <row r="30">
      <c r="A30" s="15" t="n">
        <v>26</v>
      </c>
      <c r="B30" s="16" t="n"/>
      <c r="C30" s="16" t="n"/>
      <c r="D30" s="16" t="n"/>
      <c r="E30" s="16" t="n"/>
      <c r="F30" s="16">
        <f>IF(E30="","",40-E30)</f>
        <v/>
      </c>
      <c r="G30" s="16" t="n"/>
      <c r="H30" s="16" t="n"/>
      <c r="I30" s="17">
        <f>IF(E30="","",(E30/40)*100-(G30*2.5)+MAX(0,10-(H30/6)))</f>
        <v/>
      </c>
      <c r="J30" s="16">
        <f>IF(I30="","",IF(I30&gt;=85,"A - Mumtaz",IF(I30&gt;=70,"B - Jayyid Jiddan",IF(I30&gt;=55,"C - Jayyid","D - Maqbul"))))</f>
        <v/>
      </c>
      <c r="K30" s="16">
        <f>IF(I30="","",IF(I30&gt;=55,"LULUS","TIDAK LULUS"))</f>
        <v/>
      </c>
      <c r="L30" s="16" t="n"/>
    </row>
    <row r="31">
      <c r="A31" s="12" t="n">
        <v>27</v>
      </c>
      <c r="B31" s="13" t="n"/>
      <c r="C31" s="13" t="n"/>
      <c r="D31" s="13" t="n"/>
      <c r="E31" s="13" t="n"/>
      <c r="F31" s="13">
        <f>IF(E31="","",40-E31)</f>
        <v/>
      </c>
      <c r="G31" s="13" t="n"/>
      <c r="H31" s="13" t="n"/>
      <c r="I31" s="14">
        <f>IF(E31="","",(E31/40)*100-(G31*2.5)+MAX(0,10-(H31/6)))</f>
        <v/>
      </c>
      <c r="J31" s="13">
        <f>IF(I31="","",IF(I31&gt;=85,"A - Mumtaz",IF(I31&gt;=70,"B - Jayyid Jiddan",IF(I31&gt;=55,"C - Jayyid","D - Maqbul"))))</f>
        <v/>
      </c>
      <c r="K31" s="13">
        <f>IF(I31="","",IF(I31&gt;=55,"LULUS","TIDAK LULUS"))</f>
        <v/>
      </c>
      <c r="L31" s="13" t="n"/>
    </row>
    <row r="32">
      <c r="A32" s="15" t="n">
        <v>28</v>
      </c>
      <c r="B32" s="16" t="n"/>
      <c r="C32" s="16" t="n"/>
      <c r="D32" s="16" t="n"/>
      <c r="E32" s="16" t="n"/>
      <c r="F32" s="16">
        <f>IF(E32="","",40-E32)</f>
        <v/>
      </c>
      <c r="G32" s="16" t="n"/>
      <c r="H32" s="16" t="n"/>
      <c r="I32" s="17">
        <f>IF(E32="","",(E32/40)*100-(G32*2.5)+MAX(0,10-(H32/6)))</f>
        <v/>
      </c>
      <c r="J32" s="16">
        <f>IF(I32="","",IF(I32&gt;=85,"A - Mumtaz",IF(I32&gt;=70,"B - Jayyid Jiddan",IF(I32&gt;=55,"C - Jayyid","D - Maqbul"))))</f>
        <v/>
      </c>
      <c r="K32" s="16">
        <f>IF(I32="","",IF(I32&gt;=55,"LULUS","TIDAK LULUS"))</f>
        <v/>
      </c>
      <c r="L32" s="16" t="n"/>
    </row>
    <row r="33">
      <c r="A33" s="12" t="n">
        <v>29</v>
      </c>
      <c r="B33" s="13" t="n"/>
      <c r="C33" s="13" t="n"/>
      <c r="D33" s="13" t="n"/>
      <c r="E33" s="13" t="n"/>
      <c r="F33" s="13">
        <f>IF(E33="","",40-E33)</f>
        <v/>
      </c>
      <c r="G33" s="13" t="n"/>
      <c r="H33" s="13" t="n"/>
      <c r="I33" s="14">
        <f>IF(E33="","",(E33/40)*100-(G33*2.5)+MAX(0,10-(H33/6)))</f>
        <v/>
      </c>
      <c r="J33" s="13">
        <f>IF(I33="","",IF(I33&gt;=85,"A - Mumtaz",IF(I33&gt;=70,"B - Jayyid Jiddan",IF(I33&gt;=55,"C - Jayyid","D - Maqbul"))))</f>
        <v/>
      </c>
      <c r="K33" s="13">
        <f>IF(I33="","",IF(I33&gt;=55,"LULUS","TIDAK LULUS"))</f>
        <v/>
      </c>
      <c r="L33" s="13" t="n"/>
    </row>
    <row r="34">
      <c r="A34" s="15" t="n">
        <v>30</v>
      </c>
      <c r="B34" s="16" t="n"/>
      <c r="C34" s="16" t="n"/>
      <c r="D34" s="16" t="n"/>
      <c r="E34" s="16" t="n"/>
      <c r="F34" s="16">
        <f>IF(E34="","",40-E34)</f>
        <v/>
      </c>
      <c r="G34" s="16" t="n"/>
      <c r="H34" s="16" t="n"/>
      <c r="I34" s="17">
        <f>IF(E34="","",(E34/40)*100-(G34*2.5)+MAX(0,10-(H34/6)))</f>
        <v/>
      </c>
      <c r="J34" s="16">
        <f>IF(I34="","",IF(I34&gt;=85,"A - Mumtaz",IF(I34&gt;=70,"B - Jayyid Jiddan",IF(I34&gt;=55,"C - Jayyid","D - Maqbul"))))</f>
        <v/>
      </c>
      <c r="K34" s="16">
        <f>IF(I34="","",IF(I34&gt;=55,"LULUS","TIDAK LULUS"))</f>
        <v/>
      </c>
      <c r="L34" s="16" t="n"/>
    </row>
    <row r="35">
      <c r="A35" s="12" t="n">
        <v>31</v>
      </c>
      <c r="B35" s="13" t="n"/>
      <c r="C35" s="13" t="n"/>
      <c r="D35" s="13" t="n"/>
      <c r="E35" s="13" t="n"/>
      <c r="F35" s="13">
        <f>IF(E35="","",40-E35)</f>
        <v/>
      </c>
      <c r="G35" s="13" t="n"/>
      <c r="H35" s="13" t="n"/>
      <c r="I35" s="14">
        <f>IF(E35="","",(E35/40)*100-(G35*2.5)+MAX(0,10-(H35/6)))</f>
        <v/>
      </c>
      <c r="J35" s="13">
        <f>IF(I35="","",IF(I35&gt;=85,"A - Mumtaz",IF(I35&gt;=70,"B - Jayyid Jiddan",IF(I35&gt;=55,"C - Jayyid","D - Maqbul"))))</f>
        <v/>
      </c>
      <c r="K35" s="13">
        <f>IF(I35="","",IF(I35&gt;=55,"LULUS","TIDAK LULUS"))</f>
        <v/>
      </c>
      <c r="L35" s="13" t="n"/>
    </row>
    <row r="36">
      <c r="A36" s="15" t="n">
        <v>32</v>
      </c>
      <c r="B36" s="16" t="n"/>
      <c r="C36" s="16" t="n"/>
      <c r="D36" s="16" t="n"/>
      <c r="E36" s="16" t="n"/>
      <c r="F36" s="16">
        <f>IF(E36="","",40-E36)</f>
        <v/>
      </c>
      <c r="G36" s="16" t="n"/>
      <c r="H36" s="16" t="n"/>
      <c r="I36" s="17">
        <f>IF(E36="","",(E36/40)*100-(G36*2.5)+MAX(0,10-(H36/6)))</f>
        <v/>
      </c>
      <c r="J36" s="16">
        <f>IF(I36="","",IF(I36&gt;=85,"A - Mumtaz",IF(I36&gt;=70,"B - Jayyid Jiddan",IF(I36&gt;=55,"C - Jayyid","D - Maqbul"))))</f>
        <v/>
      </c>
      <c r="K36" s="16">
        <f>IF(I36="","",IF(I36&gt;=55,"LULUS","TIDAK LULUS"))</f>
        <v/>
      </c>
      <c r="L36" s="16" t="n"/>
    </row>
    <row r="37">
      <c r="A37" s="12" t="n">
        <v>33</v>
      </c>
      <c r="B37" s="13" t="n"/>
      <c r="C37" s="13" t="n"/>
      <c r="D37" s="13" t="n"/>
      <c r="E37" s="13" t="n"/>
      <c r="F37" s="13">
        <f>IF(E37="","",40-E37)</f>
        <v/>
      </c>
      <c r="G37" s="13" t="n"/>
      <c r="H37" s="13" t="n"/>
      <c r="I37" s="14">
        <f>IF(E37="","",(E37/40)*100-(G37*2.5)+MAX(0,10-(H37/6)))</f>
        <v/>
      </c>
      <c r="J37" s="13">
        <f>IF(I37="","",IF(I37&gt;=85,"A - Mumtaz",IF(I37&gt;=70,"B - Jayyid Jiddan",IF(I37&gt;=55,"C - Jayyid","D - Maqbul"))))</f>
        <v/>
      </c>
      <c r="K37" s="13">
        <f>IF(I37="","",IF(I37&gt;=55,"LULUS","TIDAK LULUS"))</f>
        <v/>
      </c>
      <c r="L37" s="13" t="n"/>
    </row>
    <row r="38">
      <c r="A38" s="15" t="n">
        <v>34</v>
      </c>
      <c r="B38" s="16" t="n"/>
      <c r="C38" s="16" t="n"/>
      <c r="D38" s="16" t="n"/>
      <c r="E38" s="16" t="n"/>
      <c r="F38" s="16">
        <f>IF(E38="","",40-E38)</f>
        <v/>
      </c>
      <c r="G38" s="16" t="n"/>
      <c r="H38" s="16" t="n"/>
      <c r="I38" s="17">
        <f>IF(E38="","",(E38/40)*100-(G38*2.5)+MAX(0,10-(H38/6)))</f>
        <v/>
      </c>
      <c r="J38" s="16">
        <f>IF(I38="","",IF(I38&gt;=85,"A - Mumtaz",IF(I38&gt;=70,"B - Jayyid Jiddan",IF(I38&gt;=55,"C - Jayyid","D - Maqbul"))))</f>
        <v/>
      </c>
      <c r="K38" s="16">
        <f>IF(I38="","",IF(I38&gt;=55,"LULUS","TIDAK LULUS"))</f>
        <v/>
      </c>
      <c r="L38" s="16" t="n"/>
    </row>
    <row r="39">
      <c r="A39" s="12" t="n">
        <v>35</v>
      </c>
      <c r="B39" s="13" t="n"/>
      <c r="C39" s="13" t="n"/>
      <c r="D39" s="13" t="n"/>
      <c r="E39" s="13" t="n"/>
      <c r="F39" s="13">
        <f>IF(E39="","",40-E39)</f>
        <v/>
      </c>
      <c r="G39" s="13" t="n"/>
      <c r="H39" s="13" t="n"/>
      <c r="I39" s="14">
        <f>IF(E39="","",(E39/40)*100-(G39*2.5)+MAX(0,10-(H39/6)))</f>
        <v/>
      </c>
      <c r="J39" s="13">
        <f>IF(I39="","",IF(I39&gt;=85,"A - Mumtaz",IF(I39&gt;=70,"B - Jayyid Jiddan",IF(I39&gt;=55,"C - Jayyid","D - Maqbul"))))</f>
        <v/>
      </c>
      <c r="K39" s="13">
        <f>IF(I39="","",IF(I39&gt;=55,"LULUS","TIDAK LULUS"))</f>
        <v/>
      </c>
      <c r="L39" s="13" t="n"/>
    </row>
    <row r="40">
      <c r="A40" s="15" t="n">
        <v>36</v>
      </c>
      <c r="B40" s="16" t="n"/>
      <c r="C40" s="16" t="n"/>
      <c r="D40" s="16" t="n"/>
      <c r="E40" s="16" t="n"/>
      <c r="F40" s="16">
        <f>IF(E40="","",40-E40)</f>
        <v/>
      </c>
      <c r="G40" s="16" t="n"/>
      <c r="H40" s="16" t="n"/>
      <c r="I40" s="17">
        <f>IF(E40="","",(E40/40)*100-(G40*2.5)+MAX(0,10-(H40/6)))</f>
        <v/>
      </c>
      <c r="J40" s="16">
        <f>IF(I40="","",IF(I40&gt;=85,"A - Mumtaz",IF(I40&gt;=70,"B - Jayyid Jiddan",IF(I40&gt;=55,"C - Jayyid","D - Maqbul"))))</f>
        <v/>
      </c>
      <c r="K40" s="16">
        <f>IF(I40="","",IF(I40&gt;=55,"LULUS","TIDAK LULUS"))</f>
        <v/>
      </c>
      <c r="L40" s="16" t="n"/>
    </row>
    <row r="41">
      <c r="A41" s="12" t="n">
        <v>37</v>
      </c>
      <c r="B41" s="13" t="n"/>
      <c r="C41" s="13" t="n"/>
      <c r="D41" s="13" t="n"/>
      <c r="E41" s="13" t="n"/>
      <c r="F41" s="13">
        <f>IF(E41="","",40-E41)</f>
        <v/>
      </c>
      <c r="G41" s="13" t="n"/>
      <c r="H41" s="13" t="n"/>
      <c r="I41" s="14">
        <f>IF(E41="","",(E41/40)*100-(G41*2.5)+MAX(0,10-(H41/6)))</f>
        <v/>
      </c>
      <c r="J41" s="13">
        <f>IF(I41="","",IF(I41&gt;=85,"A - Mumtaz",IF(I41&gt;=70,"B - Jayyid Jiddan",IF(I41&gt;=55,"C - Jayyid","D - Maqbul"))))</f>
        <v/>
      </c>
      <c r="K41" s="13">
        <f>IF(I41="","",IF(I41&gt;=55,"LULUS","TIDAK LULUS"))</f>
        <v/>
      </c>
      <c r="L41" s="13" t="n"/>
    </row>
    <row r="42">
      <c r="A42" s="15" t="n">
        <v>38</v>
      </c>
      <c r="B42" s="16" t="n"/>
      <c r="C42" s="16" t="n"/>
      <c r="D42" s="16" t="n"/>
      <c r="E42" s="16" t="n"/>
      <c r="F42" s="16">
        <f>IF(E42="","",40-E42)</f>
        <v/>
      </c>
      <c r="G42" s="16" t="n"/>
      <c r="H42" s="16" t="n"/>
      <c r="I42" s="17">
        <f>IF(E42="","",(E42/40)*100-(G42*2.5)+MAX(0,10-(H42/6)))</f>
        <v/>
      </c>
      <c r="J42" s="16">
        <f>IF(I42="","",IF(I42&gt;=85,"A - Mumtaz",IF(I42&gt;=70,"B - Jayyid Jiddan",IF(I42&gt;=55,"C - Jayyid","D - Maqbul"))))</f>
        <v/>
      </c>
      <c r="K42" s="16">
        <f>IF(I42="","",IF(I42&gt;=55,"LULUS","TIDAK LULUS"))</f>
        <v/>
      </c>
      <c r="L42" s="16" t="n"/>
    </row>
    <row r="43">
      <c r="A43" s="12" t="n">
        <v>39</v>
      </c>
      <c r="B43" s="13" t="n"/>
      <c r="C43" s="13" t="n"/>
      <c r="D43" s="13" t="n"/>
      <c r="E43" s="13" t="n"/>
      <c r="F43" s="13">
        <f>IF(E43="","",40-E43)</f>
        <v/>
      </c>
      <c r="G43" s="13" t="n"/>
      <c r="H43" s="13" t="n"/>
      <c r="I43" s="14">
        <f>IF(E43="","",(E43/40)*100-(G43*2.5)+MAX(0,10-(H43/6)))</f>
        <v/>
      </c>
      <c r="J43" s="13">
        <f>IF(I43="","",IF(I43&gt;=85,"A - Mumtaz",IF(I43&gt;=70,"B - Jayyid Jiddan",IF(I43&gt;=55,"C - Jayyid","D - Maqbul"))))</f>
        <v/>
      </c>
      <c r="K43" s="13">
        <f>IF(I43="","",IF(I43&gt;=55,"LULUS","TIDAK LULUS"))</f>
        <v/>
      </c>
      <c r="L43" s="13" t="n"/>
    </row>
    <row r="44">
      <c r="A44" s="15" t="n">
        <v>40</v>
      </c>
      <c r="B44" s="16" t="n"/>
      <c r="C44" s="16" t="n"/>
      <c r="D44" s="16" t="n"/>
      <c r="E44" s="16" t="n"/>
      <c r="F44" s="16">
        <f>IF(E44="","",40-E44)</f>
        <v/>
      </c>
      <c r="G44" s="16" t="n"/>
      <c r="H44" s="16" t="n"/>
      <c r="I44" s="17">
        <f>IF(E44="","",(E44/40)*100-(G44*2.5)+MAX(0,10-(H44/6)))</f>
        <v/>
      </c>
      <c r="J44" s="16">
        <f>IF(I44="","",IF(I44&gt;=85,"A - Mumtaz",IF(I44&gt;=70,"B - Jayyid Jiddan",IF(I44&gt;=55,"C - Jayyid","D - Maqbul"))))</f>
        <v/>
      </c>
      <c r="K44" s="16">
        <f>IF(I44="","",IF(I44&gt;=55,"LULUS","TIDAK LULUS"))</f>
        <v/>
      </c>
      <c r="L44" s="16" t="n"/>
    </row>
    <row r="46">
      <c r="A46" s="8" t="inlineStr">
        <is>
          <t>RINGKASAN</t>
        </is>
      </c>
    </row>
    <row r="47">
      <c r="A47" s="18" t="inlineStr">
        <is>
          <t>Jumlah Peserta</t>
        </is>
      </c>
      <c r="B47" s="19">
        <f>COUNTA(B5:B44)</f>
        <v/>
      </c>
    </row>
    <row r="48">
      <c r="A48" s="18" t="inlineStr">
        <is>
          <t>Rata-rata Skor</t>
        </is>
      </c>
      <c r="B48" s="19">
        <f>IF(COUNTA(I5:I44)=0,"",AVERAGE(I5:I44))</f>
        <v/>
      </c>
    </row>
    <row r="49">
      <c r="A49" s="18" t="inlineStr">
        <is>
          <t>Skor Tertinggi</t>
        </is>
      </c>
      <c r="B49" s="19">
        <f>IF(COUNTA(I5:I44)=0,"",MAX(I5:I44))</f>
        <v/>
      </c>
    </row>
    <row r="50">
      <c r="A50" s="18" t="inlineStr">
        <is>
          <t>Skor Terendah</t>
        </is>
      </c>
      <c r="B50" s="19">
        <f>IF(COUNTA(I5:I44)=0,"",MIN(I5:I44))</f>
        <v/>
      </c>
    </row>
    <row r="51">
      <c r="A51" s="18" t="inlineStr">
        <is>
          <t>Jumlah Lulus</t>
        </is>
      </c>
      <c r="B51" s="19">
        <f>COUNTIF(K5:K44,"LULUS")</f>
        <v/>
      </c>
    </row>
    <row r="52">
      <c r="A52" s="18" t="inlineStr">
        <is>
          <t>Jumlah Tidak Lulus</t>
        </is>
      </c>
      <c r="B52" s="19">
        <f>COUNTIF(K5:K44,"TIDAK LULUS")</f>
        <v/>
      </c>
    </row>
    <row r="53">
      <c r="A53" s="18" t="inlineStr">
        <is>
          <t>Persentase Kelulusan</t>
        </is>
      </c>
      <c r="B53" s="19">
        <f>IF(B47=0,"",B51/B47*100)</f>
        <v/>
      </c>
    </row>
  </sheetData>
  <mergeCells count="3">
    <mergeCell ref="A2:L2"/>
    <mergeCell ref="A46:D46"/>
    <mergeCell ref="A1:L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6" customWidth="1" min="4" max="4"/>
    <col width="16" customWidth="1" min="5" max="5"/>
    <col width="14" customWidth="1" min="6" max="6"/>
    <col width="12" customWidth="1" min="7" max="7"/>
  </cols>
  <sheetData>
    <row r="1">
      <c r="A1" s="1" t="inlineStr">
        <is>
          <t>ANALISIS BUTIR SOAL TTS MODEL ADDIE</t>
        </is>
      </c>
    </row>
    <row r="3">
      <c r="A3" s="3" t="inlineStr">
        <is>
          <t>No Soal</t>
        </is>
      </c>
      <c r="B3" s="3" t="inlineStr">
        <is>
          <t>Arah</t>
        </is>
      </c>
      <c r="C3" s="3" t="inlineStr">
        <is>
          <t>Jawaban</t>
        </is>
      </c>
      <c r="D3" s="3" t="inlineStr">
        <is>
          <t>Tahap ADDIE</t>
        </is>
      </c>
      <c r="E3" s="3" t="inlineStr">
        <is>
          <t>Tingkat Kesulitan</t>
        </is>
      </c>
      <c r="F3" s="3" t="inlineStr">
        <is>
          <t>Jumlah Benar</t>
        </is>
      </c>
      <c r="G3" s="3" t="inlineStr">
        <is>
          <t>% Benar</t>
        </is>
      </c>
    </row>
    <row r="4">
      <c r="A4" s="15" t="n">
        <v>1</v>
      </c>
      <c r="B4" s="15" t="inlineStr">
        <is>
          <t>Mendatar</t>
        </is>
      </c>
      <c r="C4" s="20" t="inlineStr">
        <is>
          <t>ANALISIS</t>
        </is>
      </c>
      <c r="D4" s="15" t="inlineStr">
        <is>
          <t>Analysis</t>
        </is>
      </c>
      <c r="E4" s="21" t="inlineStr">
        <is>
          <t>Mudah</t>
        </is>
      </c>
    </row>
    <row r="5">
      <c r="A5" s="15" t="n">
        <v>2</v>
      </c>
      <c r="B5" s="15" t="inlineStr">
        <is>
          <t>Menurun</t>
        </is>
      </c>
      <c r="C5" s="20" t="inlineStr">
        <is>
          <t>INSTRUKSIONAL</t>
        </is>
      </c>
      <c r="D5" s="15" t="inlineStr">
        <is>
          <t>Analysis</t>
        </is>
      </c>
      <c r="E5" s="22" t="inlineStr">
        <is>
          <t>Sedang</t>
        </is>
      </c>
    </row>
    <row r="6">
      <c r="A6" s="15" t="n">
        <v>3</v>
      </c>
      <c r="B6" s="15" t="inlineStr">
        <is>
          <t>Mendatar</t>
        </is>
      </c>
      <c r="C6" s="20" t="inlineStr">
        <is>
          <t>DESAIN</t>
        </is>
      </c>
      <c r="D6" s="15" t="inlineStr">
        <is>
          <t>Design</t>
        </is>
      </c>
      <c r="E6" s="21" t="inlineStr">
        <is>
          <t>Mudah</t>
        </is>
      </c>
    </row>
    <row r="7">
      <c r="A7" s="15" t="n">
        <v>4</v>
      </c>
      <c r="B7" s="15" t="inlineStr">
        <is>
          <t>Menurun</t>
        </is>
      </c>
      <c r="C7" s="20" t="inlineStr">
        <is>
          <t>PENGEMBANGAN</t>
        </is>
      </c>
      <c r="D7" s="15" t="inlineStr">
        <is>
          <t>Development</t>
        </is>
      </c>
      <c r="E7" s="21" t="inlineStr">
        <is>
          <t>Mudah</t>
        </is>
      </c>
    </row>
    <row r="8">
      <c r="A8" s="15" t="n">
        <v>5</v>
      </c>
      <c r="B8" s="15" t="inlineStr">
        <is>
          <t>Mendatar</t>
        </is>
      </c>
      <c r="C8" s="20" t="inlineStr">
        <is>
          <t>IMPLEMENTASI</t>
        </is>
      </c>
      <c r="D8" s="15" t="inlineStr">
        <is>
          <t>Implementation</t>
        </is>
      </c>
      <c r="E8" s="21" t="inlineStr">
        <is>
          <t>Mudah</t>
        </is>
      </c>
    </row>
    <row r="9">
      <c r="A9" s="15" t="n">
        <v>6</v>
      </c>
      <c r="B9" s="15" t="inlineStr">
        <is>
          <t>Menurun</t>
        </is>
      </c>
      <c r="C9" s="20" t="inlineStr">
        <is>
          <t>TUJUAN</t>
        </is>
      </c>
      <c r="D9" s="15" t="inlineStr">
        <is>
          <t>Design</t>
        </is>
      </c>
      <c r="E9" s="21" t="inlineStr">
        <is>
          <t>Mudah</t>
        </is>
      </c>
    </row>
    <row r="10">
      <c r="A10" s="15" t="n">
        <v>7</v>
      </c>
      <c r="B10" s="15" t="inlineStr">
        <is>
          <t>Mendatar</t>
        </is>
      </c>
      <c r="C10" s="20" t="inlineStr">
        <is>
          <t>EVALUASI</t>
        </is>
      </c>
      <c r="D10" s="15" t="inlineStr">
        <is>
          <t>Evaluation</t>
        </is>
      </c>
      <c r="E10" s="21" t="inlineStr">
        <is>
          <t>Mudah</t>
        </is>
      </c>
    </row>
    <row r="11">
      <c r="A11" s="15" t="n">
        <v>8</v>
      </c>
      <c r="B11" s="15" t="inlineStr">
        <is>
          <t>Menurun</t>
        </is>
      </c>
      <c r="C11" s="20" t="inlineStr">
        <is>
          <t>MATERI</t>
        </is>
      </c>
      <c r="D11" s="15" t="inlineStr">
        <is>
          <t>Development</t>
        </is>
      </c>
      <c r="E11" s="21" t="inlineStr">
        <is>
          <t>Mudah</t>
        </is>
      </c>
    </row>
    <row r="12">
      <c r="A12" s="15" t="n">
        <v>9</v>
      </c>
      <c r="B12" s="15" t="inlineStr">
        <is>
          <t>Mendatar</t>
        </is>
      </c>
      <c r="C12" s="20" t="inlineStr">
        <is>
          <t>FORMATIF</t>
        </is>
      </c>
      <c r="D12" s="15" t="inlineStr">
        <is>
          <t>Evaluation</t>
        </is>
      </c>
      <c r="E12" s="22" t="inlineStr">
        <is>
          <t>Sedang</t>
        </is>
      </c>
    </row>
    <row r="13">
      <c r="A13" s="15" t="n">
        <v>10</v>
      </c>
      <c r="B13" s="15" t="inlineStr">
        <is>
          <t>Menurun</t>
        </is>
      </c>
      <c r="C13" s="20" t="inlineStr">
        <is>
          <t>LIKERT</t>
        </is>
      </c>
      <c r="D13" s="15" t="inlineStr">
        <is>
          <t>Evaluation</t>
        </is>
      </c>
      <c r="E13" s="23" t="inlineStr">
        <is>
          <t>Sulit</t>
        </is>
      </c>
    </row>
    <row r="14">
      <c r="A14" s="15" t="n">
        <v>11</v>
      </c>
      <c r="B14" s="15" t="inlineStr">
        <is>
          <t>Mendatar</t>
        </is>
      </c>
      <c r="C14" s="20" t="inlineStr">
        <is>
          <t>SUMATIF</t>
        </is>
      </c>
      <c r="D14" s="15" t="inlineStr">
        <is>
          <t>Evaluation</t>
        </is>
      </c>
      <c r="E14" s="22" t="inlineStr">
        <is>
          <t>Sedang</t>
        </is>
      </c>
    </row>
    <row r="15">
      <c r="A15" s="15" t="n">
        <v>12</v>
      </c>
      <c r="B15" s="15" t="inlineStr">
        <is>
          <t>Menurun</t>
        </is>
      </c>
      <c r="C15" s="20" t="inlineStr">
        <is>
          <t>KEBUTUHAN</t>
        </is>
      </c>
      <c r="D15" s="15" t="inlineStr">
        <is>
          <t>Analysis</t>
        </is>
      </c>
      <c r="E15" s="22" t="inlineStr">
        <is>
          <t>Sedang</t>
        </is>
      </c>
    </row>
    <row r="16">
      <c r="A16" s="15" t="n">
        <v>13</v>
      </c>
      <c r="B16" s="15" t="inlineStr">
        <is>
          <t>Mendatar</t>
        </is>
      </c>
      <c r="C16" s="20" t="inlineStr">
        <is>
          <t>KURIKULUM</t>
        </is>
      </c>
      <c r="D16" s="15" t="inlineStr">
        <is>
          <t>Umum</t>
        </is>
      </c>
      <c r="E16" s="21" t="inlineStr">
        <is>
          <t>Mudah</t>
        </is>
      </c>
    </row>
    <row r="17">
      <c r="A17" s="15" t="n">
        <v>14</v>
      </c>
      <c r="B17" s="15" t="inlineStr">
        <is>
          <t>Menurun</t>
        </is>
      </c>
      <c r="C17" s="20" t="inlineStr">
        <is>
          <t>EFEKTIF</t>
        </is>
      </c>
      <c r="D17" s="15" t="inlineStr">
        <is>
          <t>Umum</t>
        </is>
      </c>
      <c r="E17" s="21" t="inlineStr">
        <is>
          <t>Mudah</t>
        </is>
      </c>
    </row>
    <row r="18">
      <c r="A18" s="15" t="n">
        <v>15</v>
      </c>
      <c r="B18" s="15" t="inlineStr">
        <is>
          <t>Mendatar</t>
        </is>
      </c>
      <c r="C18" s="20" t="inlineStr">
        <is>
          <t>KOMPETENSI</t>
        </is>
      </c>
      <c r="D18" s="15" t="inlineStr">
        <is>
          <t>Implementation</t>
        </is>
      </c>
      <c r="E18" s="22" t="inlineStr">
        <is>
          <t>Sedang</t>
        </is>
      </c>
    </row>
    <row r="19">
      <c r="A19" s="15" t="n">
        <v>16</v>
      </c>
      <c r="B19" s="15" t="inlineStr">
        <is>
          <t>Menurun</t>
        </is>
      </c>
      <c r="C19" s="20" t="inlineStr">
        <is>
          <t>REMEDIAL</t>
        </is>
      </c>
      <c r="D19" s="15" t="inlineStr">
        <is>
          <t>Implementation</t>
        </is>
      </c>
      <c r="E19" s="22" t="inlineStr">
        <is>
          <t>Sedang</t>
        </is>
      </c>
    </row>
    <row r="20">
      <c r="A20" s="15" t="n">
        <v>17</v>
      </c>
      <c r="B20" s="15" t="inlineStr">
        <is>
          <t>Mendatar</t>
        </is>
      </c>
      <c r="C20" s="20" t="inlineStr">
        <is>
          <t>MEDIA</t>
        </is>
      </c>
      <c r="D20" s="15" t="inlineStr">
        <is>
          <t>Development</t>
        </is>
      </c>
      <c r="E20" s="21" t="inlineStr">
        <is>
          <t>Mudah</t>
        </is>
      </c>
    </row>
    <row r="21">
      <c r="A21" s="15" t="n">
        <v>18</v>
      </c>
      <c r="B21" s="15" t="inlineStr">
        <is>
          <t>Menurun</t>
        </is>
      </c>
      <c r="C21" s="20" t="inlineStr">
        <is>
          <t>RPP</t>
        </is>
      </c>
      <c r="D21" s="15" t="inlineStr">
        <is>
          <t>Implementation</t>
        </is>
      </c>
      <c r="E21" s="21" t="inlineStr">
        <is>
          <t>Mudah</t>
        </is>
      </c>
    </row>
    <row r="22">
      <c r="A22" s="15" t="n">
        <v>19</v>
      </c>
      <c r="B22" s="15" t="inlineStr">
        <is>
          <t>Mendatar</t>
        </is>
      </c>
      <c r="C22" s="20" t="inlineStr">
        <is>
          <t>TAKSONOMI</t>
        </is>
      </c>
      <c r="D22" s="15" t="inlineStr">
        <is>
          <t>Design</t>
        </is>
      </c>
      <c r="E22" s="22" t="inlineStr">
        <is>
          <t>Sedang</t>
        </is>
      </c>
    </row>
    <row r="23">
      <c r="A23" s="15" t="n">
        <v>20</v>
      </c>
      <c r="B23" s="15" t="inlineStr">
        <is>
          <t>Menurun</t>
        </is>
      </c>
      <c r="C23" s="20" t="inlineStr">
        <is>
          <t>PRAKTIS</t>
        </is>
      </c>
      <c r="D23" s="15" t="inlineStr">
        <is>
          <t>Umum</t>
        </is>
      </c>
      <c r="E23" s="22" t="inlineStr">
        <is>
          <t>Sedang</t>
        </is>
      </c>
    </row>
    <row r="24">
      <c r="A24" s="15" t="n">
        <v>21</v>
      </c>
      <c r="B24" s="15" t="inlineStr">
        <is>
          <t>Mendatar</t>
        </is>
      </c>
      <c r="C24" s="20" t="inlineStr">
        <is>
          <t>STORYBOARD</t>
        </is>
      </c>
      <c r="D24" s="15" t="inlineStr">
        <is>
          <t>Design</t>
        </is>
      </c>
      <c r="E24" s="23" t="inlineStr">
        <is>
          <t>Sulit</t>
        </is>
      </c>
    </row>
    <row r="25">
      <c r="A25" s="15" t="n">
        <v>22</v>
      </c>
      <c r="B25" s="15" t="inlineStr">
        <is>
          <t>Menurun</t>
        </is>
      </c>
      <c r="C25" s="20" t="inlineStr">
        <is>
          <t>PESERTADIDIK</t>
        </is>
      </c>
      <c r="D25" s="15" t="inlineStr">
        <is>
          <t>Analysis</t>
        </is>
      </c>
      <c r="E25" s="22" t="inlineStr">
        <is>
          <t>Sedang</t>
        </is>
      </c>
    </row>
    <row r="26">
      <c r="A26" s="15" t="n">
        <v>23</v>
      </c>
      <c r="B26" s="15" t="inlineStr">
        <is>
          <t>Mendatar</t>
        </is>
      </c>
      <c r="C26" s="20" t="inlineStr">
        <is>
          <t>VALIDASI</t>
        </is>
      </c>
      <c r="D26" s="15" t="inlineStr">
        <is>
          <t>Development</t>
        </is>
      </c>
      <c r="E26" s="22" t="inlineStr">
        <is>
          <t>Sedang</t>
        </is>
      </c>
    </row>
    <row r="27">
      <c r="A27" s="15" t="n">
        <v>24</v>
      </c>
      <c r="B27" s="15" t="inlineStr">
        <is>
          <t>Menurun</t>
        </is>
      </c>
      <c r="C27" s="20" t="inlineStr">
        <is>
          <t>ANGKET</t>
        </is>
      </c>
      <c r="D27" s="15" t="inlineStr">
        <is>
          <t>Evaluation</t>
        </is>
      </c>
      <c r="E27" s="21" t="inlineStr">
        <is>
          <t>Mudah</t>
        </is>
      </c>
    </row>
    <row r="28">
      <c r="A28" s="15" t="n">
        <v>25</v>
      </c>
      <c r="B28" s="15" t="inlineStr">
        <is>
          <t>Mendatar</t>
        </is>
      </c>
      <c r="C28" s="20" t="inlineStr">
        <is>
          <t>PRETEST</t>
        </is>
      </c>
      <c r="D28" s="15" t="inlineStr">
        <is>
          <t>Evaluation</t>
        </is>
      </c>
      <c r="E28" s="21" t="inlineStr">
        <is>
          <t>Mudah</t>
        </is>
      </c>
    </row>
    <row r="29">
      <c r="A29" s="15" t="n">
        <v>26</v>
      </c>
      <c r="B29" s="15" t="inlineStr">
        <is>
          <t>Menurun</t>
        </is>
      </c>
      <c r="C29" s="20" t="inlineStr">
        <is>
          <t>ITERATIF</t>
        </is>
      </c>
      <c r="D29" s="15" t="inlineStr">
        <is>
          <t>Umum</t>
        </is>
      </c>
      <c r="E29" s="23" t="inlineStr">
        <is>
          <t>Sulit</t>
        </is>
      </c>
    </row>
    <row r="30">
      <c r="A30" s="15" t="n">
        <v>27</v>
      </c>
      <c r="B30" s="15" t="inlineStr">
        <is>
          <t>Mendatar</t>
        </is>
      </c>
      <c r="C30" s="20" t="inlineStr">
        <is>
          <t>POSTTEST</t>
        </is>
      </c>
      <c r="D30" s="15" t="inlineStr">
        <is>
          <t>Evaluation</t>
        </is>
      </c>
      <c r="E30" s="21" t="inlineStr">
        <is>
          <t>Mudah</t>
        </is>
      </c>
    </row>
    <row r="31">
      <c r="A31" s="15" t="n">
        <v>28</v>
      </c>
      <c r="B31" s="15" t="inlineStr">
        <is>
          <t>Menurun</t>
        </is>
      </c>
      <c r="C31" s="20" t="inlineStr">
        <is>
          <t>SISTEMATIS</t>
        </is>
      </c>
      <c r="D31" s="15" t="inlineStr">
        <is>
          <t>Evaluation</t>
        </is>
      </c>
      <c r="E31" s="22" t="inlineStr">
        <is>
          <t>Sedang</t>
        </is>
      </c>
    </row>
    <row r="32">
      <c r="A32" s="15" t="n">
        <v>29</v>
      </c>
      <c r="B32" s="15" t="inlineStr">
        <is>
          <t>Mendatar</t>
        </is>
      </c>
      <c r="C32" s="20" t="inlineStr">
        <is>
          <t>MODUL</t>
        </is>
      </c>
      <c r="D32" s="15" t="inlineStr">
        <is>
          <t>Development</t>
        </is>
      </c>
      <c r="E32" s="21" t="inlineStr">
        <is>
          <t>Mudah</t>
        </is>
      </c>
    </row>
    <row r="33">
      <c r="A33" s="15" t="n">
        <v>30</v>
      </c>
      <c r="B33" s="15" t="inlineStr">
        <is>
          <t>Menurun</t>
        </is>
      </c>
      <c r="C33" s="20" t="inlineStr">
        <is>
          <t>ANIMASI</t>
        </is>
      </c>
      <c r="D33" s="15" t="inlineStr">
        <is>
          <t>Development</t>
        </is>
      </c>
      <c r="E33" s="21" t="inlineStr">
        <is>
          <t>Mudah</t>
        </is>
      </c>
    </row>
    <row r="34">
      <c r="A34" s="15" t="n">
        <v>31</v>
      </c>
      <c r="B34" s="15" t="inlineStr">
        <is>
          <t>Mendatar</t>
        </is>
      </c>
      <c r="C34" s="20" t="inlineStr">
        <is>
          <t>FLOWCHART</t>
        </is>
      </c>
      <c r="D34" s="15" t="inlineStr">
        <is>
          <t>Implementation</t>
        </is>
      </c>
      <c r="E34" s="23" t="inlineStr">
        <is>
          <t>Sulit</t>
        </is>
      </c>
    </row>
    <row r="35">
      <c r="A35" s="15" t="n">
        <v>32</v>
      </c>
      <c r="B35" s="15" t="inlineStr">
        <is>
          <t>Menurun</t>
        </is>
      </c>
      <c r="C35" s="20" t="inlineStr">
        <is>
          <t>KOGNITIF</t>
        </is>
      </c>
      <c r="D35" s="15" t="inlineStr">
        <is>
          <t>Umum</t>
        </is>
      </c>
      <c r="E35" s="22" t="inlineStr">
        <is>
          <t>Sedang</t>
        </is>
      </c>
    </row>
    <row r="36">
      <c r="A36" s="15" t="n">
        <v>33</v>
      </c>
      <c r="B36" s="15" t="inlineStr">
        <is>
          <t>Mendatar</t>
        </is>
      </c>
      <c r="C36" s="20" t="inlineStr">
        <is>
          <t>MULTIMEDIA</t>
        </is>
      </c>
      <c r="D36" s="15" t="inlineStr">
        <is>
          <t>Development</t>
        </is>
      </c>
      <c r="E36" s="22" t="inlineStr">
        <is>
          <t>Sedang</t>
        </is>
      </c>
    </row>
    <row r="37">
      <c r="A37" s="15" t="n">
        <v>34</v>
      </c>
      <c r="B37" s="15" t="inlineStr">
        <is>
          <t>Menurun</t>
        </is>
      </c>
      <c r="C37" s="20" t="inlineStr">
        <is>
          <t>AFEKTIF</t>
        </is>
      </c>
      <c r="D37" s="15" t="inlineStr">
        <is>
          <t>Umum</t>
        </is>
      </c>
      <c r="E37" s="22" t="inlineStr">
        <is>
          <t>Sedang</t>
        </is>
      </c>
    </row>
    <row r="38">
      <c r="A38" s="15" t="n">
        <v>35</v>
      </c>
      <c r="B38" s="15" t="inlineStr">
        <is>
          <t>Mendatar</t>
        </is>
      </c>
      <c r="C38" s="20" t="inlineStr">
        <is>
          <t>INTERAKTIF</t>
        </is>
      </c>
      <c r="D38" s="15" t="inlineStr">
        <is>
          <t>Development</t>
        </is>
      </c>
      <c r="E38" s="22" t="inlineStr">
        <is>
          <t>Sedang</t>
        </is>
      </c>
    </row>
    <row r="39">
      <c r="A39" s="15" t="n">
        <v>36</v>
      </c>
      <c r="B39" s="15" t="inlineStr">
        <is>
          <t>Menurun</t>
        </is>
      </c>
      <c r="C39" s="20" t="inlineStr">
        <is>
          <t>OBSERVASI</t>
        </is>
      </c>
      <c r="D39" s="15" t="inlineStr">
        <is>
          <t>Analysis</t>
        </is>
      </c>
      <c r="E39" s="21" t="inlineStr">
        <is>
          <t>Mudah</t>
        </is>
      </c>
    </row>
    <row r="40">
      <c r="A40" s="15" t="n">
        <v>37</v>
      </c>
      <c r="B40" s="15" t="inlineStr">
        <is>
          <t>Mendatar</t>
        </is>
      </c>
      <c r="C40" s="20" t="inlineStr">
        <is>
          <t>PROTOTYPE</t>
        </is>
      </c>
      <c r="D40" s="15" t="inlineStr">
        <is>
          <t>Development</t>
        </is>
      </c>
      <c r="E40" s="23" t="inlineStr">
        <is>
          <t>Sulit</t>
        </is>
      </c>
    </row>
    <row r="41">
      <c r="A41" s="15" t="n">
        <v>38</v>
      </c>
      <c r="B41" s="15" t="inlineStr">
        <is>
          <t>Menurun</t>
        </is>
      </c>
      <c r="C41" s="20" t="inlineStr">
        <is>
          <t>WAWANCARA</t>
        </is>
      </c>
      <c r="D41" s="15" t="inlineStr">
        <is>
          <t>Analysis</t>
        </is>
      </c>
      <c r="E41" s="21" t="inlineStr">
        <is>
          <t>Mudah</t>
        </is>
      </c>
    </row>
    <row r="42">
      <c r="A42" s="15" t="n">
        <v>39</v>
      </c>
      <c r="B42" s="15" t="inlineStr">
        <is>
          <t>Mendatar</t>
        </is>
      </c>
      <c r="C42" s="20" t="inlineStr">
        <is>
          <t>REVISI</t>
        </is>
      </c>
      <c r="D42" s="15" t="inlineStr">
        <is>
          <t>Umum</t>
        </is>
      </c>
      <c r="E42" s="21" t="inlineStr">
        <is>
          <t>Mudah</t>
        </is>
      </c>
    </row>
    <row r="43">
      <c r="A43" s="15" t="n">
        <v>40</v>
      </c>
      <c r="B43" s="15" t="inlineStr">
        <is>
          <t>Menurun</t>
        </is>
      </c>
      <c r="C43" s="20" t="inlineStr">
        <is>
          <t>SKENARIO</t>
        </is>
      </c>
      <c r="D43" s="15" t="inlineStr">
        <is>
          <t>Design</t>
        </is>
      </c>
      <c r="E43" s="22" t="inlineStr">
        <is>
          <t>Sedang</t>
        </is>
      </c>
    </row>
  </sheetData>
  <mergeCells count="1">
    <mergeCell ref="A1:G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4" customWidth="1" min="4" max="4"/>
    <col width="12" customWidth="1" min="5" max="5"/>
    <col width="12" customWidth="1" min="6" max="6"/>
    <col width="16" customWidth="1" min="7" max="7"/>
    <col width="14" customWidth="1" min="8" max="8"/>
  </cols>
  <sheetData>
    <row r="1">
      <c r="A1" s="1" t="inlineStr">
        <is>
          <t>DAFTAR HADIR ASESMEN TTS MODEL ADDIE</t>
        </is>
      </c>
    </row>
    <row r="2">
      <c r="A2" s="9" t="inlineStr">
        <is>
          <t>Hari/Tanggal: ____________    Ruang: ____________    Pengawas: ____________</t>
        </is>
      </c>
    </row>
    <row r="4" ht="24" customHeight="1">
      <c r="A4" s="3" t="inlineStr">
        <is>
          <t>No</t>
        </is>
      </c>
      <c r="B4" s="3" t="inlineStr">
        <is>
          <t>Nama Lengkap</t>
        </is>
      </c>
      <c r="C4" s="3" t="inlineStr">
        <is>
          <t>NIM</t>
        </is>
      </c>
      <c r="D4" s="3" t="inlineStr">
        <is>
          <t>Kelas</t>
        </is>
      </c>
      <c r="E4" s="3" t="inlineStr">
        <is>
          <t>Jam Mulai</t>
        </is>
      </c>
      <c r="F4" s="3" t="inlineStr">
        <is>
          <t>Jam Selesai</t>
        </is>
      </c>
      <c r="G4" s="3" t="inlineStr">
        <is>
          <t>Tanda Tangan</t>
        </is>
      </c>
      <c r="H4" s="3" t="inlineStr">
        <is>
          <t>Keterangan</t>
        </is>
      </c>
    </row>
    <row r="5">
      <c r="A5" s="24" t="n">
        <v>1</v>
      </c>
      <c r="B5" s="25" t="n"/>
      <c r="C5" s="25" t="n"/>
      <c r="D5" s="25" t="n"/>
      <c r="E5" s="25" t="n"/>
      <c r="F5" s="25" t="n"/>
      <c r="G5" s="25" t="n"/>
      <c r="H5" s="25" t="n"/>
    </row>
    <row r="6">
      <c r="A6" s="15" t="n">
        <v>2</v>
      </c>
      <c r="B6" s="16" t="n"/>
      <c r="C6" s="16" t="n"/>
      <c r="D6" s="16" t="n"/>
      <c r="E6" s="16" t="n"/>
      <c r="F6" s="16" t="n"/>
      <c r="G6" s="16" t="n"/>
      <c r="H6" s="16" t="n"/>
    </row>
    <row r="7">
      <c r="A7" s="24" t="n">
        <v>3</v>
      </c>
      <c r="B7" s="25" t="n"/>
      <c r="C7" s="25" t="n"/>
      <c r="D7" s="25" t="n"/>
      <c r="E7" s="25" t="n"/>
      <c r="F7" s="25" t="n"/>
      <c r="G7" s="25" t="n"/>
      <c r="H7" s="25" t="n"/>
    </row>
    <row r="8">
      <c r="A8" s="15" t="n">
        <v>4</v>
      </c>
      <c r="B8" s="16" t="n"/>
      <c r="C8" s="16" t="n"/>
      <c r="D8" s="16" t="n"/>
      <c r="E8" s="16" t="n"/>
      <c r="F8" s="16" t="n"/>
      <c r="G8" s="16" t="n"/>
      <c r="H8" s="16" t="n"/>
    </row>
    <row r="9">
      <c r="A9" s="24" t="n">
        <v>5</v>
      </c>
      <c r="B9" s="25" t="n"/>
      <c r="C9" s="25" t="n"/>
      <c r="D9" s="25" t="n"/>
      <c r="E9" s="25" t="n"/>
      <c r="F9" s="25" t="n"/>
      <c r="G9" s="25" t="n"/>
      <c r="H9" s="25" t="n"/>
    </row>
    <row r="10">
      <c r="A10" s="15" t="n">
        <v>6</v>
      </c>
      <c r="B10" s="16" t="n"/>
      <c r="C10" s="16" t="n"/>
      <c r="D10" s="16" t="n"/>
      <c r="E10" s="16" t="n"/>
      <c r="F10" s="16" t="n"/>
      <c r="G10" s="16" t="n"/>
      <c r="H10" s="16" t="n"/>
    </row>
    <row r="11">
      <c r="A11" s="24" t="n">
        <v>7</v>
      </c>
      <c r="B11" s="25" t="n"/>
      <c r="C11" s="25" t="n"/>
      <c r="D11" s="25" t="n"/>
      <c r="E11" s="25" t="n"/>
      <c r="F11" s="25" t="n"/>
      <c r="G11" s="25" t="n"/>
      <c r="H11" s="25" t="n"/>
    </row>
    <row r="12">
      <c r="A12" s="15" t="n">
        <v>8</v>
      </c>
      <c r="B12" s="16" t="n"/>
      <c r="C12" s="16" t="n"/>
      <c r="D12" s="16" t="n"/>
      <c r="E12" s="16" t="n"/>
      <c r="F12" s="16" t="n"/>
      <c r="G12" s="16" t="n"/>
      <c r="H12" s="16" t="n"/>
    </row>
    <row r="13">
      <c r="A13" s="24" t="n">
        <v>9</v>
      </c>
      <c r="B13" s="25" t="n"/>
      <c r="C13" s="25" t="n"/>
      <c r="D13" s="25" t="n"/>
      <c r="E13" s="25" t="n"/>
      <c r="F13" s="25" t="n"/>
      <c r="G13" s="25" t="n"/>
      <c r="H13" s="25" t="n"/>
    </row>
    <row r="14">
      <c r="A14" s="15" t="n">
        <v>10</v>
      </c>
      <c r="B14" s="16" t="n"/>
      <c r="C14" s="16" t="n"/>
      <c r="D14" s="16" t="n"/>
      <c r="E14" s="16" t="n"/>
      <c r="F14" s="16" t="n"/>
      <c r="G14" s="16" t="n"/>
      <c r="H14" s="16" t="n"/>
    </row>
    <row r="15">
      <c r="A15" s="24" t="n">
        <v>11</v>
      </c>
      <c r="B15" s="25" t="n"/>
      <c r="C15" s="25" t="n"/>
      <c r="D15" s="25" t="n"/>
      <c r="E15" s="25" t="n"/>
      <c r="F15" s="25" t="n"/>
      <c r="G15" s="25" t="n"/>
      <c r="H15" s="25" t="n"/>
    </row>
    <row r="16">
      <c r="A16" s="15" t="n">
        <v>12</v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4" t="n">
        <v>13</v>
      </c>
      <c r="B17" s="25" t="n"/>
      <c r="C17" s="25" t="n"/>
      <c r="D17" s="25" t="n"/>
      <c r="E17" s="25" t="n"/>
      <c r="F17" s="25" t="n"/>
      <c r="G17" s="25" t="n"/>
      <c r="H17" s="25" t="n"/>
    </row>
    <row r="18">
      <c r="A18" s="15" t="n">
        <v>14</v>
      </c>
      <c r="B18" s="16" t="n"/>
      <c r="C18" s="16" t="n"/>
      <c r="D18" s="16" t="n"/>
      <c r="E18" s="16" t="n"/>
      <c r="F18" s="16" t="n"/>
      <c r="G18" s="16" t="n"/>
      <c r="H18" s="16" t="n"/>
    </row>
    <row r="19">
      <c r="A19" s="24" t="n">
        <v>15</v>
      </c>
      <c r="B19" s="25" t="n"/>
      <c r="C19" s="25" t="n"/>
      <c r="D19" s="25" t="n"/>
      <c r="E19" s="25" t="n"/>
      <c r="F19" s="25" t="n"/>
      <c r="G19" s="25" t="n"/>
      <c r="H19" s="25" t="n"/>
    </row>
    <row r="20">
      <c r="A20" s="15" t="n">
        <v>16</v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4" t="n">
        <v>17</v>
      </c>
      <c r="B21" s="25" t="n"/>
      <c r="C21" s="25" t="n"/>
      <c r="D21" s="25" t="n"/>
      <c r="E21" s="25" t="n"/>
      <c r="F21" s="25" t="n"/>
      <c r="G21" s="25" t="n"/>
      <c r="H21" s="25" t="n"/>
    </row>
    <row r="22">
      <c r="A22" s="15" t="n">
        <v>18</v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4" t="n">
        <v>19</v>
      </c>
      <c r="B23" s="25" t="n"/>
      <c r="C23" s="25" t="n"/>
      <c r="D23" s="25" t="n"/>
      <c r="E23" s="25" t="n"/>
      <c r="F23" s="25" t="n"/>
      <c r="G23" s="25" t="n"/>
      <c r="H23" s="25" t="n"/>
    </row>
    <row r="24">
      <c r="A24" s="15" t="n">
        <v>20</v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4" t="n">
        <v>21</v>
      </c>
      <c r="B25" s="25" t="n"/>
      <c r="C25" s="25" t="n"/>
      <c r="D25" s="25" t="n"/>
      <c r="E25" s="25" t="n"/>
      <c r="F25" s="25" t="n"/>
      <c r="G25" s="25" t="n"/>
      <c r="H25" s="25" t="n"/>
    </row>
    <row r="26">
      <c r="A26" s="15" t="n">
        <v>22</v>
      </c>
      <c r="B26" s="16" t="n"/>
      <c r="C26" s="16" t="n"/>
      <c r="D26" s="16" t="n"/>
      <c r="E26" s="16" t="n"/>
      <c r="F26" s="16" t="n"/>
      <c r="G26" s="16" t="n"/>
      <c r="H26" s="16" t="n"/>
    </row>
    <row r="27">
      <c r="A27" s="24" t="n">
        <v>23</v>
      </c>
      <c r="B27" s="25" t="n"/>
      <c r="C27" s="25" t="n"/>
      <c r="D27" s="25" t="n"/>
      <c r="E27" s="25" t="n"/>
      <c r="F27" s="25" t="n"/>
      <c r="G27" s="25" t="n"/>
      <c r="H27" s="25" t="n"/>
    </row>
    <row r="28">
      <c r="A28" s="15" t="n">
        <v>24</v>
      </c>
      <c r="B28" s="16" t="n"/>
      <c r="C28" s="16" t="n"/>
      <c r="D28" s="16" t="n"/>
      <c r="E28" s="16" t="n"/>
      <c r="F28" s="16" t="n"/>
      <c r="G28" s="16" t="n"/>
      <c r="H28" s="16" t="n"/>
    </row>
    <row r="29">
      <c r="A29" s="24" t="n">
        <v>25</v>
      </c>
      <c r="B29" s="25" t="n"/>
      <c r="C29" s="25" t="n"/>
      <c r="D29" s="25" t="n"/>
      <c r="E29" s="25" t="n"/>
      <c r="F29" s="25" t="n"/>
      <c r="G29" s="25" t="n"/>
      <c r="H29" s="25" t="n"/>
    </row>
    <row r="30">
      <c r="A30" s="15" t="n">
        <v>26</v>
      </c>
      <c r="B30" s="16" t="n"/>
      <c r="C30" s="16" t="n"/>
      <c r="D30" s="16" t="n"/>
      <c r="E30" s="16" t="n"/>
      <c r="F30" s="16" t="n"/>
      <c r="G30" s="16" t="n"/>
      <c r="H30" s="16" t="n"/>
    </row>
    <row r="31">
      <c r="A31" s="24" t="n">
        <v>27</v>
      </c>
      <c r="B31" s="25" t="n"/>
      <c r="C31" s="25" t="n"/>
      <c r="D31" s="25" t="n"/>
      <c r="E31" s="25" t="n"/>
      <c r="F31" s="25" t="n"/>
      <c r="G31" s="25" t="n"/>
      <c r="H31" s="25" t="n"/>
    </row>
    <row r="32">
      <c r="A32" s="15" t="n">
        <v>28</v>
      </c>
      <c r="B32" s="16" t="n"/>
      <c r="C32" s="16" t="n"/>
      <c r="D32" s="16" t="n"/>
      <c r="E32" s="16" t="n"/>
      <c r="F32" s="16" t="n"/>
      <c r="G32" s="16" t="n"/>
      <c r="H32" s="16" t="n"/>
    </row>
    <row r="33">
      <c r="A33" s="24" t="n">
        <v>29</v>
      </c>
      <c r="B33" s="25" t="n"/>
      <c r="C33" s="25" t="n"/>
      <c r="D33" s="25" t="n"/>
      <c r="E33" s="25" t="n"/>
      <c r="F33" s="25" t="n"/>
      <c r="G33" s="25" t="n"/>
      <c r="H33" s="25" t="n"/>
    </row>
    <row r="34">
      <c r="A34" s="15" t="n">
        <v>30</v>
      </c>
      <c r="B34" s="16" t="n"/>
      <c r="C34" s="16" t="n"/>
      <c r="D34" s="16" t="n"/>
      <c r="E34" s="16" t="n"/>
      <c r="F34" s="16" t="n"/>
      <c r="G34" s="16" t="n"/>
      <c r="H34" s="16" t="n"/>
    </row>
    <row r="35">
      <c r="A35" s="24" t="n">
        <v>31</v>
      </c>
      <c r="B35" s="25" t="n"/>
      <c r="C35" s="25" t="n"/>
      <c r="D35" s="25" t="n"/>
      <c r="E35" s="25" t="n"/>
      <c r="F35" s="25" t="n"/>
      <c r="G35" s="25" t="n"/>
      <c r="H35" s="25" t="n"/>
    </row>
    <row r="36">
      <c r="A36" s="15" t="n">
        <v>32</v>
      </c>
      <c r="B36" s="16" t="n"/>
      <c r="C36" s="16" t="n"/>
      <c r="D36" s="16" t="n"/>
      <c r="E36" s="16" t="n"/>
      <c r="F36" s="16" t="n"/>
      <c r="G36" s="16" t="n"/>
      <c r="H36" s="16" t="n"/>
    </row>
    <row r="37">
      <c r="A37" s="24" t="n">
        <v>33</v>
      </c>
      <c r="B37" s="25" t="n"/>
      <c r="C37" s="25" t="n"/>
      <c r="D37" s="25" t="n"/>
      <c r="E37" s="25" t="n"/>
      <c r="F37" s="25" t="n"/>
      <c r="G37" s="25" t="n"/>
      <c r="H37" s="25" t="n"/>
    </row>
    <row r="38">
      <c r="A38" s="15" t="n">
        <v>34</v>
      </c>
      <c r="B38" s="16" t="n"/>
      <c r="C38" s="16" t="n"/>
      <c r="D38" s="16" t="n"/>
      <c r="E38" s="16" t="n"/>
      <c r="F38" s="16" t="n"/>
      <c r="G38" s="16" t="n"/>
      <c r="H38" s="16" t="n"/>
    </row>
    <row r="39">
      <c r="A39" s="24" t="n">
        <v>35</v>
      </c>
      <c r="B39" s="25" t="n"/>
      <c r="C39" s="25" t="n"/>
      <c r="D39" s="25" t="n"/>
      <c r="E39" s="25" t="n"/>
      <c r="F39" s="25" t="n"/>
      <c r="G39" s="25" t="n"/>
      <c r="H39" s="25" t="n"/>
    </row>
    <row r="40">
      <c r="A40" s="15" t="n">
        <v>36</v>
      </c>
      <c r="B40" s="16" t="n"/>
      <c r="C40" s="16" t="n"/>
      <c r="D40" s="16" t="n"/>
      <c r="E40" s="16" t="n"/>
      <c r="F40" s="16" t="n"/>
      <c r="G40" s="16" t="n"/>
      <c r="H40" s="16" t="n"/>
    </row>
    <row r="41">
      <c r="A41" s="24" t="n">
        <v>37</v>
      </c>
      <c r="B41" s="25" t="n"/>
      <c r="C41" s="25" t="n"/>
      <c r="D41" s="25" t="n"/>
      <c r="E41" s="25" t="n"/>
      <c r="F41" s="25" t="n"/>
      <c r="G41" s="25" t="n"/>
      <c r="H41" s="25" t="n"/>
    </row>
    <row r="42">
      <c r="A42" s="15" t="n">
        <v>38</v>
      </c>
      <c r="B42" s="16" t="n"/>
      <c r="C42" s="16" t="n"/>
      <c r="D42" s="16" t="n"/>
      <c r="E42" s="16" t="n"/>
      <c r="F42" s="16" t="n"/>
      <c r="G42" s="16" t="n"/>
      <c r="H42" s="16" t="n"/>
    </row>
    <row r="43">
      <c r="A43" s="24" t="n">
        <v>39</v>
      </c>
      <c r="B43" s="25" t="n"/>
      <c r="C43" s="25" t="n"/>
      <c r="D43" s="25" t="n"/>
      <c r="E43" s="25" t="n"/>
      <c r="F43" s="25" t="n"/>
      <c r="G43" s="25" t="n"/>
      <c r="H43" s="25" t="n"/>
    </row>
    <row r="44">
      <c r="A44" s="15" t="n">
        <v>40</v>
      </c>
      <c r="B44" s="16" t="n"/>
      <c r="C44" s="16" t="n"/>
      <c r="D44" s="16" t="n"/>
      <c r="E44" s="16" t="n"/>
      <c r="F44" s="16" t="n"/>
      <c r="G44" s="16" t="n"/>
      <c r="H44" s="16" t="n"/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2026-03-01T22:01:31Z</dcterms:created>
  <dcterms:modified xmlns:dcterms="http://purl.org/dc/terms/" xmlns:xsi="http://www.w3.org/2001/XMLSchema-instance" xsi:type="dcterms:W3CDTF">2026-03-01T22:01:31Z</dcterms:modified>
</cp:coreProperties>
</file>